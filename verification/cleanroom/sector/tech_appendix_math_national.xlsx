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12"/>
  <workbookPr/>
  <xr:revisionPtr revIDLastSave="4" documentId="11_9408DFD37071C4A433C3A783D8468736EBF6BDB0" xr6:coauthVersionLast="47" xr6:coauthVersionMax="47" xr10:uidLastSave="{F135E42E-82D1-467B-9F58-F3B59B089F5D}"/>
  <bookViews>
    <workbookView xWindow="0" yWindow="0" windowWidth="0" windowHeight="0" xr2:uid="{00000000-000D-0000-FFFF-FFFF00000000}"/>
  </bookViews>
  <sheets>
    <sheet name="List of Tables" sheetId="1" r:id="rId1"/>
    <sheet name="Participation G4" sheetId="2" r:id="rId2"/>
    <sheet name="Participation G8" sheetId="3" r:id="rId3"/>
    <sheet name="SDEL_Identified G4" sheetId="4" r:id="rId4"/>
    <sheet name="SDEL_Identified G8"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1" l="1"/>
  <c r="A3" i="1"/>
  <c r="A2" i="1"/>
  <c r="A1" i="1"/>
</calcChain>
</file>

<file path=xl/sharedStrings.xml><?xml version="1.0" encoding="utf-8"?>
<sst xmlns="http://schemas.openxmlformats.org/spreadsheetml/2006/main" count="62" uniqueCount="27">
  <si>
    <t>School and student participation rates at grade 4 in NAEP mathematics, by type of school: 2024</t>
  </si>
  <si>
    <t>School and student participation rates at grade 8 in NAEP mathematics, by type of school: 2024</t>
  </si>
  <si>
    <t>Percentage of fourth-grade students identified as students with disabilities (SD) and/or English learners (EL) excluded and assessed in NAEP mathematics, as a percentage of identified SD and/or EL students, by SD/EL category: 2024</t>
  </si>
  <si>
    <t>Percentage of eighth-grade students identified as students with disabilities (SD) and/or English learners (EL) excluded and assessed in NAEP mathematics, as a percentage of identified SD and/or EL students, by SD/EL category: 2024</t>
  </si>
  <si>
    <t>National Center for Education Statistics</t>
  </si>
  <si>
    <t>2024 Mathematics Grades 4 and 8 Assessment Report Card: Summary Data Tables for National Participation Rates, Proportions of SD and EL Students Identified, Accommodation Types</t>
  </si>
  <si>
    <t>Type of school</t>
  </si>
  <si>
    <t>School participation</t>
  </si>
  <si>
    <t>Student participation</t>
  </si>
  <si>
    <t>Student-weighted percent</t>
  </si>
  <si>
    <t>School-weighted percent</t>
  </si>
  <si>
    <t>Number of schools participating</t>
  </si>
  <si>
    <t>Number of students assessed</t>
  </si>
  <si>
    <t>Nation</t>
  </si>
  <si>
    <t>Public</t>
  </si>
  <si>
    <t>Private</t>
  </si>
  <si>
    <t>NOTE:  The national totals for schools include Department of Defense Education Activity (overseas and domestic schools) and Bureau of Indian Education schools, which are not included in either the public or private school totals.  The national totals for students include students in these schools. The number of schools is rounded to the nearest ten. The number of students is rounded to the nearest hundred.  The school participation rates are student-weighted percentages before substitution. Columns of percentages have different denominators.  Detail may not sum to totals because of rounding.</t>
  </si>
  <si>
    <t>SOURCE: U.S. Department of Education, Institute of Education Sciences, National Center for Education Statistics, National Assessment of Educational Progress (NAEP), 2024 Mathematics Assessment.</t>
  </si>
  <si>
    <t>SD/EL category</t>
  </si>
  <si>
    <t>Excluded</t>
  </si>
  <si>
    <t>Assessed</t>
  </si>
  <si>
    <t>Assessed without accommodations</t>
  </si>
  <si>
    <t>Assessed with accommodations</t>
  </si>
  <si>
    <t>SD and/or EL</t>
  </si>
  <si>
    <t>SD</t>
  </si>
  <si>
    <t>EL</t>
  </si>
  <si>
    <t>NOTE:  Students identified as both SD and EL were counted only once under the combined SD and/or EL category, but were counted separately under the SD and EL categories.  SD includes students identified as having either an Individualized Education Program or protection under Section 504 of the Rehabilitation Act of 1973.  Detail may not sum to totals because of rounding.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</si>
</sst>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8"/>
      <color rgb="FF333333"/>
      <name val="Impact"/>
    </font>
    <font>
      <b/>
      <sz val="11"/>
      <color rgb="FF333333"/>
      <name val="Calibri"/>
    </font>
    <font>
      <sz val="11"/>
      <color rgb="FF333333"/>
      <name val="Calibri"/>
    </font>
    <font>
      <sz val="12"/>
      <color theme="10"/>
      <name val="Calibri"/>
      <family val="2"/>
      <scheme val="minor"/>
    </font>
  </fonts>
  <fills count="2">
    <fill>
      <patternFill patternType="none"/>
    </fill>
    <fill>
      <patternFill patternType="gray125"/>
    </fill>
  </fills>
  <borders count="9">
    <border>
      <left/>
      <right/>
      <top/>
      <bottom/>
      <diagonal/>
    </border>
    <border>
      <left/>
      <right/>
      <top/>
      <bottom style="medium">
        <color rgb="FF333350"/>
      </bottom>
      <diagonal/>
    </border>
    <border>
      <left style="thin">
        <color rgb="FF333330"/>
      </left>
      <right/>
      <top style="thin">
        <color rgb="FF333330"/>
      </top>
      <bottom style="medium">
        <color rgb="FF333350"/>
      </bottom>
      <diagonal/>
    </border>
    <border>
      <left/>
      <right/>
      <top style="thin">
        <color rgb="FF333330"/>
      </top>
      <bottom style="medium">
        <color rgb="FF333350"/>
      </bottom>
      <diagonal/>
    </border>
    <border>
      <left style="thin">
        <color rgb="FF333330"/>
      </left>
      <right/>
      <top/>
      <bottom style="medium">
        <color rgb="FF333350"/>
      </bottom>
      <diagonal/>
    </border>
    <border>
      <left style="thin">
        <color rgb="FF333330"/>
      </left>
      <right/>
      <top/>
      <bottom/>
      <diagonal/>
    </border>
    <border>
      <left/>
      <right/>
      <top/>
      <bottom style="thin">
        <color rgb="FF333350"/>
      </bottom>
      <diagonal/>
    </border>
    <border>
      <left style="thin">
        <color rgb="FF333330"/>
      </left>
      <right/>
      <top/>
      <bottom style="thin">
        <color rgb="FF333350"/>
      </bottom>
      <diagonal/>
    </border>
    <border>
      <left/>
      <right/>
      <top style="thin">
        <color rgb="FF333350"/>
      </top>
      <bottom/>
      <diagonal/>
    </border>
  </borders>
  <cellStyleXfs count="2">
    <xf numFmtId="0" fontId="0" fillId="0" borderId="0"/>
    <xf numFmtId="0" fontId="4" fillId="0" borderId="0"/>
  </cellStyleXfs>
  <cellXfs count="22">
    <xf numFmtId="0" fontId="0" fillId="0" borderId="0" xfId="0"/>
    <xf numFmtId="0" fontId="4" fillId="0" borderId="0" xfId="1"/>
    <xf numFmtId="0" fontId="1" fillId="0" borderId="0" xfId="0" applyFont="1" applyAlignment="1">
      <alignment horizontal="left"/>
    </xf>
    <xf numFmtId="0" fontId="2" fillId="0" borderId="0" xfId="0" applyFont="1" applyAlignment="1">
      <alignment horizontal="left"/>
    </xf>
    <xf numFmtId="0" fontId="2" fillId="0" borderId="4" xfId="0" applyFont="1" applyBorder="1" applyAlignment="1">
      <alignment horizontal="right" wrapText="1"/>
    </xf>
    <xf numFmtId="0" fontId="2" fillId="0" borderId="0" xfId="0" applyFont="1" applyAlignment="1">
      <alignment horizontal="left" wrapText="1"/>
    </xf>
    <xf numFmtId="1" fontId="2" fillId="0" borderId="5" xfId="0" applyNumberFormat="1" applyFont="1" applyBorder="1" applyAlignment="1">
      <alignment horizontal="right"/>
    </xf>
    <xf numFmtId="3" fontId="2" fillId="0" borderId="5" xfId="0" applyNumberFormat="1" applyFont="1" applyBorder="1" applyAlignment="1">
      <alignment horizontal="right"/>
    </xf>
    <xf numFmtId="0" fontId="3" fillId="0" borderId="0" xfId="0" applyFont="1" applyAlignment="1">
      <alignment horizontal="left" wrapText="1"/>
    </xf>
    <xf numFmtId="1" fontId="3" fillId="0" borderId="5" xfId="0" applyNumberFormat="1" applyFont="1" applyBorder="1" applyAlignment="1">
      <alignment horizontal="right"/>
    </xf>
    <xf numFmtId="3" fontId="3" fillId="0" borderId="5" xfId="0" applyNumberFormat="1" applyFont="1" applyBorder="1" applyAlignment="1">
      <alignment horizontal="right"/>
    </xf>
    <xf numFmtId="0" fontId="3" fillId="0" borderId="6" xfId="0" applyFont="1" applyBorder="1" applyAlignment="1">
      <alignment horizontal="left" wrapText="1"/>
    </xf>
    <xf numFmtId="1" fontId="3" fillId="0" borderId="7" xfId="0" applyNumberFormat="1" applyFont="1" applyBorder="1" applyAlignment="1">
      <alignment horizontal="right"/>
    </xf>
    <xf numFmtId="3" fontId="3" fillId="0" borderId="7" xfId="0" applyNumberFormat="1" applyFont="1" applyBorder="1" applyAlignment="1">
      <alignment horizontal="right"/>
    </xf>
    <xf numFmtId="0" fontId="3" fillId="0" borderId="8" xfId="0" applyFont="1" applyBorder="1" applyAlignment="1">
      <alignment horizontal="left"/>
    </xf>
    <xf numFmtId="0" fontId="3" fillId="0" borderId="0" xfId="0" applyFont="1" applyAlignment="1">
      <alignment horizontal="left"/>
    </xf>
    <xf numFmtId="0" fontId="2" fillId="0" borderId="2" xfId="0" applyFont="1" applyBorder="1" applyAlignment="1">
      <alignment horizontal="right" wrapText="1"/>
    </xf>
    <xf numFmtId="0" fontId="2" fillId="0" borderId="3" xfId="0" applyFont="1" applyBorder="1" applyAlignment="1">
      <alignment horizontal="left" wrapText="1"/>
    </xf>
    <xf numFmtId="0" fontId="2" fillId="0" borderId="3" xfId="0" applyFont="1" applyBorder="1" applyAlignment="1">
      <alignment horizontal="left" wrapText="1"/>
    </xf>
    <xf numFmtId="0" fontId="2" fillId="0" borderId="2" xfId="0" applyFont="1" applyBorder="1" applyAlignment="1">
      <alignment horizontal="center" wrapText="1"/>
    </xf>
    <xf numFmtId="0" fontId="0" fillId="0" borderId="3" xfId="0" applyBorder="1" applyAlignment="1"/>
    <xf numFmtId="0" fontId="0" fillId="0" borderId="1" xfId="0" applyBorder="1"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tabSelected="1" workbookViewId="0"/>
  </sheetViews>
  <sheetFormatPr defaultRowHeight="15"/>
  <cols>
    <col min="1" max="1" width="20" customWidth="1"/>
  </cols>
  <sheetData>
    <row r="1" spans="1:2">
      <c r="A1" s="1" t="str">
        <f>HYPERLINK("#'Participation G4'!A1", "Participation G4")</f>
        <v>Participation G4</v>
      </c>
      <c r="B1" t="s">
        <v>0</v>
      </c>
    </row>
    <row r="2" spans="1:2">
      <c r="A2" s="1" t="str">
        <f>HYPERLINK("#'Participation G8'!A1", "Participation G8")</f>
        <v>Participation G8</v>
      </c>
      <c r="B2" t="s">
        <v>1</v>
      </c>
    </row>
    <row r="3" spans="1:2">
      <c r="A3" s="1" t="str">
        <f>HYPERLINK("#'SDEL_Identified G4'!A1", "SDEL_Identified G4")</f>
        <v>SDEL_Identified G4</v>
      </c>
      <c r="B3" t="s">
        <v>2</v>
      </c>
    </row>
    <row r="4" spans="1:2">
      <c r="A4" s="1" t="str">
        <f>HYPERLINK("#'SDEL_Identified G8'!A1", "SDEL_Identified G8")</f>
        <v>SDEL_Identified G8</v>
      </c>
      <c r="B4" t="s">
        <v>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workbookViewId="0">
      <selection activeCell="A2" sqref="A2"/>
    </sheetView>
  </sheetViews>
  <sheetFormatPr defaultRowHeight="15"/>
  <cols>
    <col min="1" max="1" width="16" customWidth="1"/>
    <col min="2" max="6" width="14" customWidth="1"/>
  </cols>
  <sheetData>
    <row r="1" spans="1:6">
      <c r="A1" s="2" t="s">
        <v>4</v>
      </c>
    </row>
    <row r="2" spans="1:6">
      <c r="A2" s="3" t="s">
        <v>5</v>
      </c>
    </row>
    <row r="4" spans="1:6">
      <c r="A4" s="3" t="s">
        <v>0</v>
      </c>
    </row>
    <row r="5" spans="1:6">
      <c r="A5" s="18" t="s">
        <v>6</v>
      </c>
      <c r="B5" s="19" t="s">
        <v>7</v>
      </c>
      <c r="C5" s="20"/>
      <c r="D5" s="20"/>
      <c r="E5" s="19" t="s">
        <v>8</v>
      </c>
      <c r="F5" s="20"/>
    </row>
    <row r="6" spans="1:6" ht="44.25" customHeight="1">
      <c r="A6" s="21"/>
      <c r="B6" s="4" t="s">
        <v>9</v>
      </c>
      <c r="C6" s="4" t="s">
        <v>10</v>
      </c>
      <c r="D6" s="4" t="s">
        <v>11</v>
      </c>
      <c r="E6" s="4" t="s">
        <v>9</v>
      </c>
      <c r="F6" s="4" t="s">
        <v>12</v>
      </c>
    </row>
    <row r="7" spans="1:6">
      <c r="A7" s="5" t="s">
        <v>13</v>
      </c>
      <c r="B7" s="6">
        <v>95.090497694078493</v>
      </c>
      <c r="C7" s="6">
        <v>83.359032300971194</v>
      </c>
      <c r="D7" s="7">
        <v>5780</v>
      </c>
      <c r="E7" s="6">
        <v>92.138242449834706</v>
      </c>
      <c r="F7" s="7">
        <v>116200</v>
      </c>
    </row>
    <row r="8" spans="1:6">
      <c r="A8" s="8" t="s">
        <v>14</v>
      </c>
      <c r="B8" s="9">
        <v>99.674863714613394</v>
      </c>
      <c r="C8" s="9">
        <v>99.536491542876504</v>
      </c>
      <c r="D8" s="10">
        <v>5550</v>
      </c>
      <c r="E8" s="9">
        <v>92.086104758309702</v>
      </c>
      <c r="F8" s="10">
        <v>112100</v>
      </c>
    </row>
    <row r="9" spans="1:6">
      <c r="A9" s="11" t="s">
        <v>15</v>
      </c>
      <c r="B9" s="12">
        <v>44.528629853213303</v>
      </c>
      <c r="C9" s="12">
        <v>38.961634799549302</v>
      </c>
      <c r="D9" s="12">
        <v>150</v>
      </c>
      <c r="E9" s="12">
        <v>93.252253000792393</v>
      </c>
      <c r="F9" s="13">
        <v>1600</v>
      </c>
    </row>
    <row r="10" spans="1:6">
      <c r="A10" s="14" t="s">
        <v>16</v>
      </c>
    </row>
    <row r="11" spans="1:6">
      <c r="A11" s="15" t="s">
        <v>17</v>
      </c>
    </row>
  </sheetData>
  <mergeCells count="3">
    <mergeCell ref="A5:A6"/>
    <mergeCell ref="E5:F5"/>
    <mergeCell ref="B5:D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workbookViewId="0">
      <selection activeCell="A3" sqref="A3"/>
    </sheetView>
  </sheetViews>
  <sheetFormatPr defaultRowHeight="15"/>
  <cols>
    <col min="1" max="1" width="16" customWidth="1"/>
    <col min="2" max="6" width="14" customWidth="1"/>
  </cols>
  <sheetData>
    <row r="1" spans="1:6">
      <c r="A1" s="2" t="s">
        <v>4</v>
      </c>
    </row>
    <row r="2" spans="1:6">
      <c r="A2" s="3" t="s">
        <v>5</v>
      </c>
    </row>
    <row r="4" spans="1:6">
      <c r="A4" s="3" t="s">
        <v>1</v>
      </c>
    </row>
    <row r="5" spans="1:6">
      <c r="A5" s="18" t="s">
        <v>6</v>
      </c>
      <c r="B5" s="19" t="s">
        <v>7</v>
      </c>
      <c r="C5" s="20"/>
      <c r="D5" s="20"/>
      <c r="E5" s="19" t="s">
        <v>8</v>
      </c>
      <c r="F5" s="20"/>
    </row>
    <row r="6" spans="1:6" ht="44.25" customHeight="1">
      <c r="A6" s="21"/>
      <c r="B6" s="4" t="s">
        <v>9</v>
      </c>
      <c r="C6" s="4" t="s">
        <v>10</v>
      </c>
      <c r="D6" s="4" t="s">
        <v>11</v>
      </c>
      <c r="E6" s="4" t="s">
        <v>9</v>
      </c>
      <c r="F6" s="4" t="s">
        <v>12</v>
      </c>
    </row>
    <row r="7" spans="1:6">
      <c r="A7" s="5" t="s">
        <v>13</v>
      </c>
      <c r="B7" s="6">
        <v>94.534169722761305</v>
      </c>
      <c r="C7" s="6">
        <v>72.6644993434969</v>
      </c>
      <c r="D7" s="7">
        <v>5190</v>
      </c>
      <c r="E7" s="6">
        <v>88.777580276151198</v>
      </c>
      <c r="F7" s="7">
        <v>111000</v>
      </c>
    </row>
    <row r="8" spans="1:6">
      <c r="A8" s="8" t="s">
        <v>14</v>
      </c>
      <c r="B8" s="9">
        <v>99.784910677233995</v>
      </c>
      <c r="C8" s="9">
        <v>99.718393448560903</v>
      </c>
      <c r="D8" s="10">
        <v>5010</v>
      </c>
      <c r="E8" s="9">
        <v>88.686005934120402</v>
      </c>
      <c r="F8" s="10">
        <v>107700</v>
      </c>
    </row>
    <row r="9" spans="1:6">
      <c r="A9" s="11" t="s">
        <v>15</v>
      </c>
      <c r="B9" s="12">
        <v>34.287419412438602</v>
      </c>
      <c r="C9" s="12">
        <v>28.222499523657898</v>
      </c>
      <c r="D9" s="12">
        <v>130</v>
      </c>
      <c r="E9" s="12">
        <v>91.279678023532298</v>
      </c>
      <c r="F9" s="13">
        <v>1500</v>
      </c>
    </row>
    <row r="10" spans="1:6">
      <c r="A10" s="14" t="s">
        <v>16</v>
      </c>
    </row>
    <row r="11" spans="1:6">
      <c r="A11" s="15" t="s">
        <v>17</v>
      </c>
    </row>
  </sheetData>
  <mergeCells count="3">
    <mergeCell ref="A5:A6"/>
    <mergeCell ref="E5:F5"/>
    <mergeCell ref="B5:D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
  <sheetViews>
    <sheetView workbookViewId="0">
      <selection activeCell="A2" sqref="A2"/>
    </sheetView>
  </sheetViews>
  <sheetFormatPr defaultRowHeight="15"/>
  <cols>
    <col min="1" max="1" width="21" customWidth="1"/>
    <col min="2" max="5" width="18" customWidth="1"/>
  </cols>
  <sheetData>
    <row r="1" spans="1:5">
      <c r="A1" s="2" t="s">
        <v>4</v>
      </c>
    </row>
    <row r="2" spans="1:5">
      <c r="A2" s="3" t="s">
        <v>5</v>
      </c>
    </row>
    <row r="4" spans="1:5">
      <c r="A4" s="3" t="s">
        <v>2</v>
      </c>
    </row>
    <row r="5" spans="1:5" ht="29.45" customHeight="1">
      <c r="A5" s="17" t="s">
        <v>18</v>
      </c>
      <c r="B5" s="16" t="s">
        <v>19</v>
      </c>
      <c r="C5" s="16" t="s">
        <v>20</v>
      </c>
      <c r="D5" s="16" t="s">
        <v>21</v>
      </c>
      <c r="E5" s="16" t="s">
        <v>22</v>
      </c>
    </row>
    <row r="6" spans="1:5">
      <c r="A6" s="8" t="s">
        <v>23</v>
      </c>
      <c r="B6" s="9">
        <v>8.0974839999999997</v>
      </c>
      <c r="C6" s="9">
        <v>91.902516000000006</v>
      </c>
      <c r="D6" s="9">
        <v>41.818303999999998</v>
      </c>
      <c r="E6" s="9">
        <v>50.084212000000001</v>
      </c>
    </row>
    <row r="7" spans="1:5">
      <c r="A7" s="8" t="s">
        <v>24</v>
      </c>
      <c r="B7" s="9">
        <v>9.7718139999999991</v>
      </c>
      <c r="C7" s="9">
        <v>90.228185999999994</v>
      </c>
      <c r="D7" s="9">
        <v>25.198245</v>
      </c>
      <c r="E7" s="9">
        <v>65.029940999999994</v>
      </c>
    </row>
    <row r="8" spans="1:5">
      <c r="A8" s="11" t="s">
        <v>25</v>
      </c>
      <c r="B8" s="12">
        <v>6.762645</v>
      </c>
      <c r="C8" s="12">
        <v>93.237354999999994</v>
      </c>
      <c r="D8" s="12">
        <v>60.019078</v>
      </c>
      <c r="E8" s="12">
        <v>33.218277</v>
      </c>
    </row>
    <row r="9" spans="1:5">
      <c r="A9" s="14" t="s">
        <v>26</v>
      </c>
    </row>
    <row r="10" spans="1:5">
      <c r="A10" s="15" t="s">
        <v>17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
  <sheetViews>
    <sheetView workbookViewId="0"/>
  </sheetViews>
  <sheetFormatPr defaultRowHeight="15"/>
  <cols>
    <col min="1" max="1" width="21" customWidth="1"/>
    <col min="2" max="5" width="18" customWidth="1"/>
  </cols>
  <sheetData>
    <row r="1" spans="1:5">
      <c r="A1" s="2" t="s">
        <v>4</v>
      </c>
    </row>
    <row r="2" spans="1:5">
      <c r="A2" s="3" t="s">
        <v>5</v>
      </c>
    </row>
    <row r="4" spans="1:5">
      <c r="A4" s="3" t="s">
        <v>3</v>
      </c>
    </row>
    <row r="5" spans="1:5" ht="29.45" customHeight="1">
      <c r="A5" s="17" t="s">
        <v>18</v>
      </c>
      <c r="B5" s="16" t="s">
        <v>19</v>
      </c>
      <c r="C5" s="16" t="s">
        <v>20</v>
      </c>
      <c r="D5" s="16" t="s">
        <v>21</v>
      </c>
      <c r="E5" s="16" t="s">
        <v>22</v>
      </c>
    </row>
    <row r="6" spans="1:5">
      <c r="A6" s="8" t="s">
        <v>23</v>
      </c>
      <c r="B6" s="9">
        <v>8.3987470000000002</v>
      </c>
      <c r="C6" s="9">
        <v>91.601253</v>
      </c>
      <c r="D6" s="9">
        <v>34.756605</v>
      </c>
      <c r="E6" s="9">
        <v>56.844647999999999</v>
      </c>
    </row>
    <row r="7" spans="1:5">
      <c r="A7" s="8" t="s">
        <v>24</v>
      </c>
      <c r="B7" s="9">
        <v>9.1709309999999995</v>
      </c>
      <c r="C7" s="9">
        <v>90.829069000000004</v>
      </c>
      <c r="D7" s="9">
        <v>16.837202999999999</v>
      </c>
      <c r="E7" s="9">
        <v>73.991866000000002</v>
      </c>
    </row>
    <row r="8" spans="1:5">
      <c r="A8" s="11" t="s">
        <v>25</v>
      </c>
      <c r="B8" s="12">
        <v>7.4953500000000002</v>
      </c>
      <c r="C8" s="12">
        <v>92.504649999999998</v>
      </c>
      <c r="D8" s="12">
        <v>57.862079000000001</v>
      </c>
      <c r="E8" s="12">
        <v>34.642569999999999</v>
      </c>
    </row>
    <row r="9" spans="1:5">
      <c r="A9" s="14" t="s">
        <v>26</v>
      </c>
    </row>
    <row r="10" spans="1:5">
      <c r="A10" s="15" t="s">
        <v>17</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52AC68927D7E439A5A78E5D0299ED8" ma:contentTypeVersion="16" ma:contentTypeDescription="Create a new document." ma:contentTypeScope="" ma:versionID="86709ce68ccab18291e2ea1f768cd707">
  <xsd:schema xmlns:xsd="http://www.w3.org/2001/XMLSchema" xmlns:xs="http://www.w3.org/2001/XMLSchema" xmlns:p="http://schemas.microsoft.com/office/2006/metadata/properties" xmlns:ns1="http://schemas.microsoft.com/sharepoint/v3" xmlns:ns2="314a293a-148a-421c-9e03-9d929aba5a9b" xmlns:ns3="460cbb50-dce1-43ad-b0a3-342ade86abf1" targetNamespace="http://schemas.microsoft.com/office/2006/metadata/properties" ma:root="true" ma:fieldsID="c0d5ef86e80558769ff9e522869e4e0d" ns1:_="" ns2:_="" ns3:_="">
    <xsd:import namespace="http://schemas.microsoft.com/sharepoint/v3"/>
    <xsd:import namespace="314a293a-148a-421c-9e03-9d929aba5a9b"/>
    <xsd:import namespace="460cbb50-dce1-43ad-b0a3-342ade86abf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4a293a-148a-421c-9e03-9d929aba5a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837c2f1-5aef-4158-9f4d-c891953a27c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0cbb50-dce1-43ad-b0a3-342ade86abf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65e01ca-5760-404c-92c6-4df52b1f11e1}" ma:internalName="TaxCatchAll" ma:showField="CatchAllData" ma:web="460cbb50-dce1-43ad-b0a3-342ade86abf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60cbb50-dce1-43ad-b0a3-342ade86abf1" xsi:nil="true"/>
    <_ip_UnifiedCompliancePolicyUIAction xmlns="http://schemas.microsoft.com/sharepoint/v3" xsi:nil="true"/>
    <lcf76f155ced4ddcb4097134ff3c332f xmlns="314a293a-148a-421c-9e03-9d929aba5a9b">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40500D4D-E8A5-4AE9-86C1-2D734A91E441}"/>
</file>

<file path=customXml/itemProps2.xml><?xml version="1.0" encoding="utf-8"?>
<ds:datastoreItem xmlns:ds="http://schemas.openxmlformats.org/officeDocument/2006/customXml" ds:itemID="{32294C9F-F1FB-4D35-BB89-1AACD894DC68}"/>
</file>

<file path=customXml/itemProps3.xml><?xml version="1.0" encoding="utf-8"?>
<ds:datastoreItem xmlns:ds="http://schemas.openxmlformats.org/officeDocument/2006/customXml" ds:itemID="{14FA35F7-10FB-41CD-B7AE-34AC27C9A6E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Technical appendix tables for 2024 mathematics report card</dc:title>
  <dc:subject>Mathematics</dc:subject>
  <dc:creator>National Center for Education Statistics (NCES)</dc:creator>
  <cp:keywords>NAEP, mathematics, participation rate, SD/EL, accommodation type</cp:keywords>
  <dc:description/>
  <cp:lastModifiedBy>McCarthy, Jillian</cp:lastModifiedBy>
  <cp:revision/>
  <dcterms:created xsi:type="dcterms:W3CDTF">2024-12-10T14:27:54Z</dcterms:created>
  <dcterms:modified xsi:type="dcterms:W3CDTF">2024-12-16T20:13:35Z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0x0101009A52AC68927D7E439A5A78E5D0299ED8</vt:lpwstr>
  </property>
  <property fmtid="{D5CDD505-2E9C-101B-9397-08002B2CF9AE}" pid="3" name="MediaServiceImageTags">
    <vt:lpwstr/>
  </property>
</Properties>
</file>